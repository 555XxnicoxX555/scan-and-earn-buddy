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uestos" sheetId="1" r:id="rId1"/>
    <sheet name="Resumen" sheetId="2" r:id="rId2"/>
    <sheet name="Costos" sheetId="3" r:id="rId3"/>
    <sheet name="Proyeccion Conservadora" sheetId="4" r:id="rId4"/>
    <sheet name="Proyeccion Base" sheetId="5" r:id="rId5"/>
    <sheet name="Proyeccion Optimista" sheetId="6" r:id="rId6"/>
    <sheet name="Escenarios" sheetId="7" r:id="rId7"/>
    <sheet name="Fidelizac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45.83203125" customWidth="1"/>
  </cols>
  <sheetData>
    <row r="1">
      <c r="A1" t="str">
        <v>Supuesto</v>
      </c>
      <c r="B1" t="str">
        <v>Valor</v>
      </c>
      <c r="C1" t="str">
        <v>Unidad</v>
      </c>
      <c r="D1" t="str">
        <v>Nota</v>
      </c>
    </row>
    <row r="2">
      <c r="A2" t="str">
        <v>Tipo de cambio</v>
      </c>
      <c r="B2">
        <v>1437</v>
      </c>
      <c r="C2" t="str">
        <v>ARS/USD</v>
      </c>
      <c r="D2" t="str">
        <v>Usado en archivo original</v>
      </c>
    </row>
    <row r="3">
      <c r="A3" t="str">
        <v>Precio implementacion</v>
      </c>
      <c r="B3">
        <v>800</v>
      </c>
      <c r="C3" t="str">
        <v>USD/local</v>
      </c>
      <c r="D3" t="str">
        <v>Pago unico por local</v>
      </c>
    </row>
    <row r="4">
      <c r="A4" t="str">
        <v>Mantenimiento mensual</v>
      </c>
      <c r="B4">
        <v>100</v>
      </c>
      <c r="C4" t="str">
        <v>USD/local/mes</v>
      </c>
      <c r="D4" t="str">
        <v>Ingreso recurrente</v>
      </c>
    </row>
    <row r="5">
      <c r="A5" t="str">
        <v>Acrilicos QR</v>
      </c>
      <c r="B5">
        <v>139.18</v>
      </c>
      <c r="C5" t="str">
        <v>USD/local</v>
      </c>
      <c r="D5" t="str">
        <v>Costo inicial</v>
      </c>
    </row>
    <row r="6">
      <c r="A6" t="str">
        <v>Comision vendedor</v>
      </c>
      <c r="B6">
        <v>120</v>
      </c>
      <c r="C6" t="str">
        <v>USD/local</v>
      </c>
      <c r="D6" t="str">
        <v>Costo inicial de venta</v>
      </c>
    </row>
    <row r="7">
      <c r="A7" t="str">
        <v>Dominio anual</v>
      </c>
      <c r="B7">
        <v>4</v>
      </c>
      <c r="C7" t="str">
        <v>USD/local/año</v>
      </c>
      <c r="D7" t="str">
        <v>Se mensualiza en margen recurrente</v>
      </c>
    </row>
    <row r="8">
      <c r="A8" t="str">
        <v>Hosting mensual</v>
      </c>
      <c r="B8">
        <v>0.06</v>
      </c>
      <c r="C8" t="str">
        <v>USD/local/mes</v>
      </c>
      <c r="D8" t="str">
        <v>Costo recurrente</v>
      </c>
    </row>
    <row r="9">
      <c r="A9" t="str">
        <v>Desarrollador</v>
      </c>
      <c r="B9">
        <v>800</v>
      </c>
      <c r="C9" t="str">
        <v>USD/mes</v>
      </c>
      <c r="D9" t="str">
        <v>Costo fijo</v>
      </c>
    </row>
    <row r="10">
      <c r="A10" t="str">
        <v>Disenador</v>
      </c>
      <c r="B10">
        <v>500</v>
      </c>
      <c r="C10" t="str">
        <v>USD/mes</v>
      </c>
      <c r="D10" t="str">
        <v>Costo fijo</v>
      </c>
    </row>
    <row r="11">
      <c r="A11" t="str">
        <v>Marketing / administracion</v>
      </c>
      <c r="B11">
        <v>150</v>
      </c>
      <c r="C11" t="str">
        <v>USD/mes</v>
      </c>
      <c r="D11" t="str">
        <v>Costo fijo</v>
      </c>
    </row>
    <row r="12">
      <c r="A12" t="str">
        <v>Herramientas software</v>
      </c>
      <c r="B12">
        <v>45</v>
      </c>
      <c r="C12" t="str">
        <v>USD/mes</v>
      </c>
      <c r="D12" t="str">
        <v>Costo fijo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55.83203125" customWidth="1"/>
    <col min="3" max="3" width="16.83203125" customWidth="1"/>
    <col min="4" max="4" width="18.83203125" customWidth="1"/>
  </cols>
  <sheetData>
    <row r="1">
      <c r="A1" t="str">
        <v>Metrica</v>
      </c>
      <c r="B1" t="str">
        <v>Formula / criterio</v>
      </c>
      <c r="C1" t="str">
        <v>USD</v>
      </c>
      <c r="D1" t="str">
        <v>ARS</v>
      </c>
    </row>
    <row r="2">
      <c r="A2" t="str">
        <v>Margen implementacion</v>
      </c>
      <c r="B2" t="str">
        <v>Precio implementacion - acrilicos - comision</v>
      </c>
      <c r="C2" t="str">
        <f>Supuestos!B3-Supuestos!B5-Supuestos!B6</f>
        <v>540.82</v>
      </c>
      <c r="D2" t="str">
        <f>C2*Supuestos!B2</f>
        <v>777160.34</v>
      </c>
    </row>
    <row r="3">
      <c r="A3" t="str">
        <v>Margen recurrente mensual</v>
      </c>
      <c r="B3" t="str">
        <v>Mantenimiento - hosting - dominio/12</v>
      </c>
      <c r="C3" t="str">
        <f>Supuestos!B4-Supuestos!B8-Supuestos!B7/12</f>
        <v>99.6066666667</v>
      </c>
      <c r="D3" t="str">
        <f>C3*Supuestos!B2</f>
        <v>143134.78</v>
      </c>
    </row>
    <row r="4">
      <c r="A4" t="str">
        <v>Costos fijos mensuales</v>
      </c>
      <c r="B4" t="str">
        <v>Suma costos fijos</v>
      </c>
      <c r="C4" t="str">
        <f>SUM(Supuestos!B9:B12)</f>
        <v>1495</v>
      </c>
      <c r="D4" t="str">
        <f>C4*Supuestos!B2</f>
        <v>2148315</v>
      </c>
    </row>
    <row r="5">
      <c r="A5" t="str">
        <v>Punto equilibrio recurrente</v>
      </c>
      <c r="B5" t="str">
        <v>Clientes activos necesarios sin contar nuevas implementaciones</v>
      </c>
      <c r="C5" t="str">
        <f>ROUNDUP(C4/C3,0)</f>
        <v>16</v>
      </c>
      <c r="D5" t="str">
        <v>clientes</v>
      </c>
    </row>
    <row r="6">
      <c r="A6" t="str">
        <v>Ganancia acumulada base 12 meses</v>
      </c>
      <c r="B6" t="str">
        <v>Escenario base</v>
      </c>
      <c r="C6" t="str">
        <f>'Proyeccion Base'!G13</f>
        <v>37360.54</v>
      </c>
      <c r="D6" t="str">
        <f>C6*Supuestos!B2</f>
        <v>53682971.79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28.83203125" customWidth="1"/>
    <col min="3" max="3" width="12.83203125" customWidth="1"/>
    <col min="4" max="4" width="18.83203125" customWidth="1"/>
    <col min="5" max="5" width="38.83203125" customWidth="1"/>
  </cols>
  <sheetData>
    <row r="1">
      <c r="A1" t="str">
        <v>Tipo</v>
      </c>
      <c r="B1" t="str">
        <v>Concepto</v>
      </c>
      <c r="C1" t="str">
        <v>USD</v>
      </c>
      <c r="D1" t="str">
        <v>Frecuencia</v>
      </c>
      <c r="E1" t="str">
        <v>Tratamiento</v>
      </c>
    </row>
    <row r="2">
      <c r="A2" t="str">
        <v>Variable inicial</v>
      </c>
      <c r="B2" t="str">
        <v>Acrilicos QR</v>
      </c>
      <c r="C2">
        <v>139.18</v>
      </c>
      <c r="D2" t="str">
        <v>Por local</v>
      </c>
      <c r="E2" t="str">
        <v>Resta al margen de implementacion</v>
      </c>
    </row>
    <row r="3">
      <c r="A3" t="str">
        <v>Variable inicial</v>
      </c>
      <c r="B3" t="str">
        <v>Comision vendedor</v>
      </c>
      <c r="C3">
        <v>120</v>
      </c>
      <c r="D3" t="str">
        <v>Por local</v>
      </c>
      <c r="E3" t="str">
        <v>Resta al margen de implementacion</v>
      </c>
    </row>
    <row r="4">
      <c r="A4" t="str">
        <v>Variable recurrente</v>
      </c>
      <c r="B4" t="str">
        <v>Dominio anual</v>
      </c>
      <c r="C4">
        <v>4</v>
      </c>
      <c r="D4" t="str">
        <v>Anual por local</v>
      </c>
      <c r="E4" t="str">
        <v>Mensualizado en margen recurrente</v>
      </c>
    </row>
    <row r="5">
      <c r="A5" t="str">
        <v>Variable recurrente</v>
      </c>
      <c r="B5" t="str">
        <v>Hosting mensual</v>
      </c>
      <c r="C5">
        <v>0.06</v>
      </c>
      <c r="D5" t="str">
        <v>Mensual por local</v>
      </c>
      <c r="E5" t="str">
        <v>Resta al margen recurrente</v>
      </c>
    </row>
    <row r="6">
      <c r="A6" t="str">
        <v>Fijo mensual</v>
      </c>
      <c r="B6" t="str">
        <v>Desarrollador</v>
      </c>
      <c r="C6">
        <v>800</v>
      </c>
      <c r="D6" t="str">
        <v>Mensual</v>
      </c>
      <c r="E6" t="str">
        <v>Costo fijo</v>
      </c>
    </row>
    <row r="7">
      <c r="A7" t="str">
        <v>Fijo mensual</v>
      </c>
      <c r="B7" t="str">
        <v>Disenador</v>
      </c>
      <c r="C7">
        <v>500</v>
      </c>
      <c r="D7" t="str">
        <v>Mensual</v>
      </c>
      <c r="E7" t="str">
        <v>Costo fijo</v>
      </c>
    </row>
    <row r="8">
      <c r="A8" t="str">
        <v>Fijo mensual</v>
      </c>
      <c r="B8" t="str">
        <v>Marketing / administracion</v>
      </c>
      <c r="C8">
        <v>150</v>
      </c>
      <c r="D8" t="str">
        <v>Mensual</v>
      </c>
      <c r="E8" t="str">
        <v>Costo fijo</v>
      </c>
    </row>
    <row r="9">
      <c r="A9" t="str">
        <v>Fijo mensual</v>
      </c>
      <c r="B9" t="str">
        <v>Herramientas software</v>
      </c>
      <c r="C9">
        <v>45</v>
      </c>
      <c r="D9" t="str">
        <v>Mensual</v>
      </c>
      <c r="E9" t="str">
        <v>Costo fijo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22.83203125" customWidth="1"/>
    <col min="5" max="5" width="20.83203125" customWidth="1"/>
    <col min="6" max="6" width="18.83203125" customWidth="1"/>
    <col min="7" max="7" width="22.83203125" customWidth="1"/>
  </cols>
  <sheetData>
    <row r="1">
      <c r="A1" t="str">
        <v>Mes</v>
      </c>
      <c r="B1" t="str">
        <v>Nuevos clientes</v>
      </c>
      <c r="C1" t="str">
        <v>Clientes totales</v>
      </c>
      <c r="D1" t="str">
        <v>Margen implementacion</v>
      </c>
      <c r="E1" t="str">
        <v>Margen recurrente</v>
      </c>
      <c r="F1" t="str">
        <v>Ganancia mensual</v>
      </c>
      <c r="G1" t="str">
        <v>Ganancia acumulada</v>
      </c>
    </row>
    <row r="2">
      <c r="A2">
        <v>1</v>
      </c>
      <c r="B2">
        <v>2</v>
      </c>
      <c r="C2" t="str">
        <f>B2</f>
        <v>2</v>
      </c>
      <c r="D2" t="str">
        <f>B2*Resumen!C2</f>
        <v>1081.64</v>
      </c>
      <c r="E2" t="str">
        <f>C2*Resumen!C3</f>
        <v>199.2133333334</v>
      </c>
      <c r="F2" t="str">
        <f>D2+E2-Resumen!C4</f>
        <v>-214.1466666665999</v>
      </c>
      <c r="G2" t="str">
        <f>F2</f>
        <v>-214.1466666665999</v>
      </c>
    </row>
    <row r="3">
      <c r="A3">
        <v>2</v>
      </c>
      <c r="B3">
        <v>2</v>
      </c>
      <c r="C3" t="str">
        <f>C2+B3</f>
        <v>4</v>
      </c>
      <c r="D3" t="str">
        <f>B3*Resumen!C2</f>
        <v>1081.64</v>
      </c>
      <c r="E3" t="str">
        <f>C3*Resumen!C3</f>
        <v>398.4266666668</v>
      </c>
      <c r="F3" t="str">
        <f>D3+E3-Resumen!C4</f>
        <v>-14.933333333199926</v>
      </c>
      <c r="G3" t="str">
        <f>G2+F3</f>
        <v>-229.07999999979984</v>
      </c>
    </row>
    <row r="4">
      <c r="A4">
        <v>3</v>
      </c>
      <c r="B4">
        <v>2</v>
      </c>
      <c r="C4" t="str">
        <f>C3+B4</f>
        <v>6</v>
      </c>
      <c r="D4" t="str">
        <f>B4*Resumen!C2</f>
        <v>1081.64</v>
      </c>
      <c r="E4" t="str">
        <f>C4*Resumen!C3</f>
        <v>597.6400000002</v>
      </c>
      <c r="F4" t="str">
        <f>D4+E4-Resumen!C4</f>
        <v>184.28000000020006</v>
      </c>
      <c r="G4" t="str">
        <f>G3+F4</f>
        <v>-44.79999999959978</v>
      </c>
    </row>
    <row r="5">
      <c r="A5">
        <v>4</v>
      </c>
      <c r="B5">
        <v>2</v>
      </c>
      <c r="C5" t="str">
        <f>C4+B5</f>
        <v>8</v>
      </c>
      <c r="D5" t="str">
        <f>B5*Resumen!C2</f>
        <v>1081.64</v>
      </c>
      <c r="E5" t="str">
        <f>C5*Resumen!C3</f>
        <v>796.8533333336</v>
      </c>
      <c r="F5" t="str">
        <f>D5+E5-Resumen!C4</f>
        <v>383.49333333360005</v>
      </c>
      <c r="G5" t="str">
        <f>G4+F5</f>
        <v>338.6933333340003</v>
      </c>
    </row>
    <row r="6">
      <c r="A6">
        <v>5</v>
      </c>
      <c r="B6">
        <v>2</v>
      </c>
      <c r="C6" t="str">
        <f>C5+B6</f>
        <v>10</v>
      </c>
      <c r="D6" t="str">
        <f>B6*Resumen!C2</f>
        <v>1081.64</v>
      </c>
      <c r="E6" t="str">
        <f>C6*Resumen!C3</f>
        <v>996.0666666669999</v>
      </c>
      <c r="F6" t="str">
        <f>D6+E6-Resumen!C4</f>
        <v>582.7066666669998</v>
      </c>
      <c r="G6" t="str">
        <f>G5+F6</f>
        <v>921.4000000010001</v>
      </c>
    </row>
    <row r="7">
      <c r="A7">
        <v>6</v>
      </c>
      <c r="B7">
        <v>2</v>
      </c>
      <c r="C7" t="str">
        <f>C6+B7</f>
        <v>12</v>
      </c>
      <c r="D7" t="str">
        <f>B7*Resumen!C2</f>
        <v>1081.64</v>
      </c>
      <c r="E7" t="str">
        <f>C7*Resumen!C3</f>
        <v>1195.2800000004</v>
      </c>
      <c r="F7" t="str">
        <f>D7+E7-Resumen!C4</f>
        <v>781.9200000004003</v>
      </c>
      <c r="G7" t="str">
        <f>G6+F7</f>
        <v>1703.3200000014003</v>
      </c>
    </row>
    <row r="8">
      <c r="A8">
        <v>7</v>
      </c>
      <c r="B8">
        <v>2</v>
      </c>
      <c r="C8" t="str">
        <f>C7+B8</f>
        <v>14</v>
      </c>
      <c r="D8" t="str">
        <f>B8*Resumen!C2</f>
        <v>1081.64</v>
      </c>
      <c r="E8" t="str">
        <f>C8*Resumen!C3</f>
        <v>1394.4933333338</v>
      </c>
      <c r="F8" t="str">
        <f>D8+E8-Resumen!C4</f>
        <v>981.1333333337998</v>
      </c>
      <c r="G8" t="str">
        <f>G7+F8</f>
        <v>2684.4533333352</v>
      </c>
    </row>
    <row r="9">
      <c r="A9">
        <v>8</v>
      </c>
      <c r="B9">
        <v>2</v>
      </c>
      <c r="C9" t="str">
        <f>C8+B9</f>
        <v>16</v>
      </c>
      <c r="D9" t="str">
        <f>B9*Resumen!C2</f>
        <v>1081.64</v>
      </c>
      <c r="E9" t="str">
        <f>C9*Resumen!C3</f>
        <v>1593.7066666672</v>
      </c>
      <c r="F9" t="str">
        <f>D9+E9-Resumen!C4</f>
        <v>1180.3466666672002</v>
      </c>
      <c r="G9" t="str">
        <f>G8+F9</f>
        <v>3864.8000000024003</v>
      </c>
    </row>
    <row r="10">
      <c r="A10">
        <v>9</v>
      </c>
      <c r="B10">
        <v>2</v>
      </c>
      <c r="C10" t="str">
        <f>C9+B10</f>
        <v>18</v>
      </c>
      <c r="D10" t="str">
        <f>B10*Resumen!C2</f>
        <v>1081.64</v>
      </c>
      <c r="E10" t="str">
        <f>C10*Resumen!C3</f>
        <v>1792.9200000005999</v>
      </c>
      <c r="F10" t="str">
        <f>D10+E10-Resumen!C4</f>
        <v>1379.5600000005998</v>
      </c>
      <c r="G10" t="str">
        <f>G9+F10</f>
        <v>5244.360000003</v>
      </c>
    </row>
    <row r="11">
      <c r="A11">
        <v>10</v>
      </c>
      <c r="B11">
        <v>2</v>
      </c>
      <c r="C11" t="str">
        <f>C10+B11</f>
        <v>20</v>
      </c>
      <c r="D11" t="str">
        <f>B11*Resumen!C2</f>
        <v>1081.64</v>
      </c>
      <c r="E11" t="str">
        <f>C11*Resumen!C3</f>
        <v>1992.1333333339999</v>
      </c>
      <c r="F11" t="str">
        <f>D11+E11-Resumen!C4</f>
        <v>1578.7733333340002</v>
      </c>
      <c r="G11" t="str">
        <f>G10+F11</f>
        <v>6823.133333337</v>
      </c>
    </row>
    <row r="12">
      <c r="A12">
        <v>11</v>
      </c>
      <c r="B12">
        <v>2</v>
      </c>
      <c r="C12" t="str">
        <f>C11+B12</f>
        <v>22</v>
      </c>
      <c r="D12" t="str">
        <f>B12*Resumen!C2</f>
        <v>1081.64</v>
      </c>
      <c r="E12" t="str">
        <f>C12*Resumen!C3</f>
        <v>2191.3466666674</v>
      </c>
      <c r="F12" t="str">
        <f>D12+E12-Resumen!C4</f>
        <v>1777.9866666673997</v>
      </c>
      <c r="G12" t="str">
        <f>G11+F12</f>
        <v>8601.120000004401</v>
      </c>
    </row>
    <row r="13">
      <c r="A13">
        <v>12</v>
      </c>
      <c r="B13">
        <v>2</v>
      </c>
      <c r="C13" t="str">
        <f>C12+B13</f>
        <v>24</v>
      </c>
      <c r="D13" t="str">
        <f>B13*Resumen!C2</f>
        <v>1081.64</v>
      </c>
      <c r="E13" t="str">
        <f>C13*Resumen!C3</f>
        <v>2390.5600000008</v>
      </c>
      <c r="F13" t="str">
        <f>D13+E13-Resumen!C4</f>
        <v>1977.2000000008002</v>
      </c>
      <c r="G13" t="str">
        <f>G12+F13</f>
        <v>10578.320000005202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22.83203125" customWidth="1"/>
    <col min="5" max="5" width="20.83203125" customWidth="1"/>
    <col min="6" max="6" width="18.83203125" customWidth="1"/>
    <col min="7" max="7" width="22.83203125" customWidth="1"/>
  </cols>
  <sheetData>
    <row r="1">
      <c r="A1" t="str">
        <v>Mes</v>
      </c>
      <c r="B1" t="str">
        <v>Nuevos clientes</v>
      </c>
      <c r="C1" t="str">
        <v>Clientes totales</v>
      </c>
      <c r="D1" t="str">
        <v>Margen implementacion</v>
      </c>
      <c r="E1" t="str">
        <v>Margen recurrente</v>
      </c>
      <c r="F1" t="str">
        <v>Ganancia mensual</v>
      </c>
      <c r="G1" t="str">
        <v>Ganancia acumulada</v>
      </c>
    </row>
    <row r="2">
      <c r="A2">
        <v>1</v>
      </c>
      <c r="B2">
        <v>3</v>
      </c>
      <c r="C2" t="str">
        <f>B2</f>
        <v>3</v>
      </c>
      <c r="D2" t="str">
        <f>B2*Resumen!C2</f>
        <v>1622.46</v>
      </c>
      <c r="E2" t="str">
        <f>C2*Resumen!C3</f>
        <v>298.8200000001</v>
      </c>
      <c r="F2" t="str">
        <f>D2+E2-Resumen!C4</f>
        <v>426.2800000001</v>
      </c>
      <c r="G2" t="str">
        <f>F2</f>
        <v>426.2800000001</v>
      </c>
    </row>
    <row r="3">
      <c r="A3">
        <v>2</v>
      </c>
      <c r="B3">
        <v>4</v>
      </c>
      <c r="C3" t="str">
        <f>C2+B3</f>
        <v>7</v>
      </c>
      <c r="D3" t="str">
        <f>B3*Resumen!C2</f>
        <v>2163.28</v>
      </c>
      <c r="E3" t="str">
        <f>C3*Resumen!C3</f>
        <v>697.2466666669</v>
      </c>
      <c r="F3" t="str">
        <f>D3+E3-Resumen!C4</f>
        <v>1365.5266666669004</v>
      </c>
      <c r="G3" t="str">
        <f>G2+F3</f>
        <v>1791.8066666670004</v>
      </c>
    </row>
    <row r="4">
      <c r="A4">
        <v>3</v>
      </c>
      <c r="B4">
        <v>4</v>
      </c>
      <c r="C4" t="str">
        <f>C3+B4</f>
        <v>11</v>
      </c>
      <c r="D4" t="str">
        <f>B4*Resumen!C2</f>
        <v>2163.28</v>
      </c>
      <c r="E4" t="str">
        <f>C4*Resumen!C3</f>
        <v>1095.6733333337</v>
      </c>
      <c r="F4" t="str">
        <f>D4+E4-Resumen!C4</f>
        <v>1763.9533333337004</v>
      </c>
      <c r="G4" t="str">
        <f>G3+F4</f>
        <v>3555.7600000007005</v>
      </c>
    </row>
    <row r="5">
      <c r="A5">
        <v>4</v>
      </c>
      <c r="B5">
        <v>4</v>
      </c>
      <c r="C5" t="str">
        <f>C4+B5</f>
        <v>15</v>
      </c>
      <c r="D5" t="str">
        <f>B5*Resumen!C2</f>
        <v>2163.28</v>
      </c>
      <c r="E5" t="str">
        <f>C5*Resumen!C3</f>
        <v>1494.1000000005</v>
      </c>
      <c r="F5" t="str">
        <f>D5+E5-Resumen!C4</f>
        <v>2162.3800000005003</v>
      </c>
      <c r="G5" t="str">
        <f>G4+F5</f>
        <v>5718.140000001201</v>
      </c>
    </row>
    <row r="6">
      <c r="A6">
        <v>5</v>
      </c>
      <c r="B6">
        <v>4</v>
      </c>
      <c r="C6" t="str">
        <f>C5+B6</f>
        <v>19</v>
      </c>
      <c r="D6" t="str">
        <f>B6*Resumen!C2</f>
        <v>2163.28</v>
      </c>
      <c r="E6" t="str">
        <f>C6*Resumen!C3</f>
        <v>1892.5266666672999</v>
      </c>
      <c r="F6" t="str">
        <f>D6+E6-Resumen!C4</f>
        <v>2560.8066666673003</v>
      </c>
      <c r="G6" t="str">
        <f>G5+F6</f>
        <v>8278.9466666685</v>
      </c>
    </row>
    <row r="7">
      <c r="A7">
        <v>6</v>
      </c>
      <c r="B7">
        <v>4</v>
      </c>
      <c r="C7" t="str">
        <f>C6+B7</f>
        <v>23</v>
      </c>
      <c r="D7" t="str">
        <f>B7*Resumen!C2</f>
        <v>2163.28</v>
      </c>
      <c r="E7" t="str">
        <f>C7*Resumen!C3</f>
        <v>2290.9533333340996</v>
      </c>
      <c r="F7" t="str">
        <f>D7+E7-Resumen!C4</f>
        <v>2959.2333333340994</v>
      </c>
      <c r="G7" t="str">
        <f>G6+F7</f>
        <v>11238.1800000026</v>
      </c>
    </row>
    <row r="8">
      <c r="A8">
        <v>7</v>
      </c>
      <c r="B8">
        <v>4</v>
      </c>
      <c r="C8" t="str">
        <f>C7+B8</f>
        <v>27</v>
      </c>
      <c r="D8" t="str">
        <f>B8*Resumen!C2</f>
        <v>2163.28</v>
      </c>
      <c r="E8" t="str">
        <f>C8*Resumen!C3</f>
        <v>2689.3800000008996</v>
      </c>
      <c r="F8" t="str">
        <f>D8+E8-Resumen!C4</f>
        <v>3357.6600000009003</v>
      </c>
      <c r="G8" t="str">
        <f>G7+F8</f>
        <v>14595.8400000035</v>
      </c>
    </row>
    <row r="9">
      <c r="A9">
        <v>8</v>
      </c>
      <c r="B9">
        <v>4</v>
      </c>
      <c r="C9" t="str">
        <f>C8+B9</f>
        <v>31</v>
      </c>
      <c r="D9" t="str">
        <f>B9*Resumen!C2</f>
        <v>2163.28</v>
      </c>
      <c r="E9" t="str">
        <f>C9*Resumen!C3</f>
        <v>3087.8066666676996</v>
      </c>
      <c r="F9" t="str">
        <f>D9+E9-Resumen!C4</f>
        <v>3756.0866666676993</v>
      </c>
      <c r="G9" t="str">
        <f>G8+F9</f>
        <v>18351.9266666712</v>
      </c>
    </row>
    <row r="10">
      <c r="A10">
        <v>9</v>
      </c>
      <c r="B10">
        <v>4</v>
      </c>
      <c r="C10" t="str">
        <f>C9+B10</f>
        <v>35</v>
      </c>
      <c r="D10" t="str">
        <f>B10*Resumen!C2</f>
        <v>2163.28</v>
      </c>
      <c r="E10" t="str">
        <f>C10*Resumen!C3</f>
        <v>3486.2333333344995</v>
      </c>
      <c r="F10" t="str">
        <f>D10+E10-Resumen!C4</f>
        <v>4154.5133333345</v>
      </c>
      <c r="G10" t="str">
        <f>G9+F10</f>
        <v>22506.4400000057</v>
      </c>
    </row>
    <row r="11">
      <c r="A11">
        <v>10</v>
      </c>
      <c r="B11">
        <v>4</v>
      </c>
      <c r="C11" t="str">
        <f>C10+B11</f>
        <v>39</v>
      </c>
      <c r="D11" t="str">
        <f>B11*Resumen!C2</f>
        <v>2163.28</v>
      </c>
      <c r="E11" t="str">
        <f>C11*Resumen!C3</f>
        <v>3884.6600000012995</v>
      </c>
      <c r="F11" t="str">
        <f>D11+E11-Resumen!C4</f>
        <v>4552.940000001299</v>
      </c>
      <c r="G11" t="str">
        <f>G10+F11</f>
        <v>27059.380000006997</v>
      </c>
    </row>
    <row r="12">
      <c r="A12">
        <v>11</v>
      </c>
      <c r="B12">
        <v>4</v>
      </c>
      <c r="C12" t="str">
        <f>C11+B12</f>
        <v>43</v>
      </c>
      <c r="D12" t="str">
        <f>B12*Resumen!C2</f>
        <v>2163.28</v>
      </c>
      <c r="E12" t="str">
        <f>C12*Resumen!C3</f>
        <v>4283.0866666680995</v>
      </c>
      <c r="F12" t="str">
        <f>D12+E12-Resumen!C4</f>
        <v>4951.3666666681</v>
      </c>
      <c r="G12" t="str">
        <f>G11+F12</f>
        <v>32010.7466666751</v>
      </c>
    </row>
    <row r="13">
      <c r="A13">
        <v>12</v>
      </c>
      <c r="B13">
        <v>4</v>
      </c>
      <c r="C13" t="str">
        <f>C12+B13</f>
        <v>47</v>
      </c>
      <c r="D13" t="str">
        <f>B13*Resumen!C2</f>
        <v>2163.28</v>
      </c>
      <c r="E13" t="str">
        <f>C13*Resumen!C3</f>
        <v>4681.5133333348995</v>
      </c>
      <c r="F13" t="str">
        <f>D13+E13-Resumen!C4</f>
        <v>5349.793333334899</v>
      </c>
      <c r="G13" t="str">
        <f>G12+F13</f>
        <v>37360.54000001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22.83203125" customWidth="1"/>
    <col min="5" max="5" width="20.83203125" customWidth="1"/>
    <col min="6" max="6" width="18.83203125" customWidth="1"/>
    <col min="7" max="7" width="22.83203125" customWidth="1"/>
  </cols>
  <sheetData>
    <row r="1">
      <c r="A1" t="str">
        <v>Mes</v>
      </c>
      <c r="B1" t="str">
        <v>Nuevos clientes</v>
      </c>
      <c r="C1" t="str">
        <v>Clientes totales</v>
      </c>
      <c r="D1" t="str">
        <v>Margen implementacion</v>
      </c>
      <c r="E1" t="str">
        <v>Margen recurrente</v>
      </c>
      <c r="F1" t="str">
        <v>Ganancia mensual</v>
      </c>
      <c r="G1" t="str">
        <v>Ganancia acumulada</v>
      </c>
    </row>
    <row r="2">
      <c r="A2">
        <v>1</v>
      </c>
      <c r="B2">
        <v>5</v>
      </c>
      <c r="C2" t="str">
        <f>B2</f>
        <v>5</v>
      </c>
      <c r="D2" t="str">
        <f>B2*Resumen!C2</f>
        <v>2704.1000000000004</v>
      </c>
      <c r="E2" t="str">
        <f>C2*Resumen!C3</f>
        <v>498.03333333349997</v>
      </c>
      <c r="F2" t="str">
        <f>D2+E2-Resumen!C4</f>
        <v>1707.1333333335006</v>
      </c>
      <c r="G2" t="str">
        <f>F2</f>
        <v>1707.1333333335006</v>
      </c>
    </row>
    <row r="3">
      <c r="A3">
        <v>2</v>
      </c>
      <c r="B3">
        <v>6</v>
      </c>
      <c r="C3" t="str">
        <f>C2+B3</f>
        <v>11</v>
      </c>
      <c r="D3" t="str">
        <f>B3*Resumen!C2</f>
        <v>3244.92</v>
      </c>
      <c r="E3" t="str">
        <f>C3*Resumen!C3</f>
        <v>1095.6733333337</v>
      </c>
      <c r="F3" t="str">
        <f>D3+E3-Resumen!C4</f>
        <v>2845.5933333337</v>
      </c>
      <c r="G3" t="str">
        <f>G2+F3</f>
        <v>4552.7266666672</v>
      </c>
    </row>
    <row r="4">
      <c r="A4">
        <v>3</v>
      </c>
      <c r="B4">
        <v>6</v>
      </c>
      <c r="C4" t="str">
        <f>C3+B4</f>
        <v>17</v>
      </c>
      <c r="D4" t="str">
        <f>B4*Resumen!C2</f>
        <v>3244.92</v>
      </c>
      <c r="E4" t="str">
        <f>C4*Resumen!C3</f>
        <v>1693.3133333339</v>
      </c>
      <c r="F4" t="str">
        <f>D4+E4-Resumen!C4</f>
        <v>3443.2333333339</v>
      </c>
      <c r="G4" t="str">
        <f>G3+F4</f>
        <v>7995.9600000011005</v>
      </c>
    </row>
    <row r="5">
      <c r="A5">
        <v>4</v>
      </c>
      <c r="B5">
        <v>6</v>
      </c>
      <c r="C5" t="str">
        <f>C4+B5</f>
        <v>23</v>
      </c>
      <c r="D5" t="str">
        <f>B5*Resumen!C2</f>
        <v>3244.92</v>
      </c>
      <c r="E5" t="str">
        <f>C5*Resumen!C3</f>
        <v>2290.9533333340996</v>
      </c>
      <c r="F5" t="str">
        <f>D5+E5-Resumen!C4</f>
        <v>4040.8733333340997</v>
      </c>
      <c r="G5" t="str">
        <f>G4+F5</f>
        <v>12036.8333333352</v>
      </c>
    </row>
    <row r="6">
      <c r="A6">
        <v>5</v>
      </c>
      <c r="B6">
        <v>6</v>
      </c>
      <c r="C6" t="str">
        <f>C5+B6</f>
        <v>29</v>
      </c>
      <c r="D6" t="str">
        <f>B6*Resumen!C2</f>
        <v>3244.92</v>
      </c>
      <c r="E6" t="str">
        <f>C6*Resumen!C3</f>
        <v>2888.5933333343</v>
      </c>
      <c r="F6" t="str">
        <f>D6+E6-Resumen!C4</f>
        <v>4638.5133333343</v>
      </c>
      <c r="G6" t="str">
        <f>G5+F6</f>
        <v>16675.346666669502</v>
      </c>
    </row>
    <row r="7">
      <c r="A7">
        <v>6</v>
      </c>
      <c r="B7">
        <v>6</v>
      </c>
      <c r="C7" t="str">
        <f>C6+B7</f>
        <v>35</v>
      </c>
      <c r="D7" t="str">
        <f>B7*Resumen!C2</f>
        <v>3244.92</v>
      </c>
      <c r="E7" t="str">
        <f>C7*Resumen!C3</f>
        <v>3486.2333333344995</v>
      </c>
      <c r="F7" t="str">
        <f>D7+E7-Resumen!C4</f>
        <v>5236.1533333345</v>
      </c>
      <c r="G7" t="str">
        <f>G6+F7</f>
        <v>21911.500000004</v>
      </c>
    </row>
    <row r="8">
      <c r="A8">
        <v>7</v>
      </c>
      <c r="B8">
        <v>6</v>
      </c>
      <c r="C8" t="str">
        <f>C7+B8</f>
        <v>41</v>
      </c>
      <c r="D8" t="str">
        <f>B8*Resumen!C2</f>
        <v>3244.92</v>
      </c>
      <c r="E8" t="str">
        <f>C8*Resumen!C3</f>
        <v>4083.8733333347</v>
      </c>
      <c r="F8" t="str">
        <f>D8+E8-Resumen!C4</f>
        <v>5833.7933333347</v>
      </c>
      <c r="G8" t="str">
        <f>G7+F8</f>
        <v>27745.2933333387</v>
      </c>
    </row>
    <row r="9">
      <c r="A9">
        <v>8</v>
      </c>
      <c r="B9">
        <v>6</v>
      </c>
      <c r="C9" t="str">
        <f>C8+B9</f>
        <v>47</v>
      </c>
      <c r="D9" t="str">
        <f>B9*Resumen!C2</f>
        <v>3244.92</v>
      </c>
      <c r="E9" t="str">
        <f>C9*Resumen!C3</f>
        <v>4681.5133333348995</v>
      </c>
      <c r="F9" t="str">
        <f>D9+E9-Resumen!C4</f>
        <v>6431.4333333348995</v>
      </c>
      <c r="G9" t="str">
        <f>G8+F9</f>
        <v>34176.7266666736</v>
      </c>
    </row>
    <row r="10">
      <c r="A10">
        <v>9</v>
      </c>
      <c r="B10">
        <v>6</v>
      </c>
      <c r="C10" t="str">
        <f>C9+B10</f>
        <v>53</v>
      </c>
      <c r="D10" t="str">
        <f>B10*Resumen!C2</f>
        <v>3244.92</v>
      </c>
      <c r="E10" t="str">
        <f>C10*Resumen!C3</f>
        <v>5279.1533333351</v>
      </c>
      <c r="F10" t="str">
        <f>D10+E10-Resumen!C4</f>
        <v>7029.0733333351</v>
      </c>
      <c r="G10" t="str">
        <f>G9+F10</f>
        <v>41205.800000008705</v>
      </c>
    </row>
    <row r="11">
      <c r="A11">
        <v>10</v>
      </c>
      <c r="B11">
        <v>6</v>
      </c>
      <c r="C11" t="str">
        <f>C10+B11</f>
        <v>59</v>
      </c>
      <c r="D11" t="str">
        <f>B11*Resumen!C2</f>
        <v>3244.92</v>
      </c>
      <c r="E11" t="str">
        <f>C11*Resumen!C3</f>
        <v>5876.793333335299</v>
      </c>
      <c r="F11" t="str">
        <f>D11+E11-Resumen!C4</f>
        <v>7626.7133333352995</v>
      </c>
      <c r="G11" t="str">
        <f>G10+F11</f>
        <v>48832.513333344</v>
      </c>
    </row>
    <row r="12">
      <c r="A12">
        <v>11</v>
      </c>
      <c r="B12">
        <v>6</v>
      </c>
      <c r="C12" t="str">
        <f>C11+B12</f>
        <v>65</v>
      </c>
      <c r="D12" t="str">
        <f>B12*Resumen!C2</f>
        <v>3244.92</v>
      </c>
      <c r="E12" t="str">
        <f>C12*Resumen!C3</f>
        <v>6474.4333333355</v>
      </c>
      <c r="F12" t="str">
        <f>D12+E12-Resumen!C4</f>
        <v>8224.3533333355</v>
      </c>
      <c r="G12" t="str">
        <f>G11+F12</f>
        <v>57056.8666666795</v>
      </c>
    </row>
    <row r="13">
      <c r="A13">
        <v>12</v>
      </c>
      <c r="B13">
        <v>6</v>
      </c>
      <c r="C13" t="str">
        <f>C12+B13</f>
        <v>71</v>
      </c>
      <c r="D13" t="str">
        <f>B13*Resumen!C2</f>
        <v>3244.92</v>
      </c>
      <c r="E13" t="str">
        <f>C13*Resumen!C3</f>
        <v>7072.073333335699</v>
      </c>
      <c r="F13" t="str">
        <f>D13+E13-Resumen!C4</f>
        <v>8821.9933333357</v>
      </c>
      <c r="G13" t="str">
        <f>G12+F13</f>
        <v>65878.86000001521</v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24.83203125" customWidth="1"/>
    <col min="3" max="3" width="18.83203125" customWidth="1"/>
    <col min="4" max="4" width="24.83203125" customWidth="1"/>
    <col min="5" max="5" width="50.83203125" customWidth="1"/>
  </cols>
  <sheetData>
    <row r="1">
      <c r="A1" t="str">
        <v>Escenario</v>
      </c>
      <c r="B1" t="str">
        <v>Nuevos clientes/mes</v>
      </c>
      <c r="C1" t="str">
        <v>Clientes al mes 12</v>
      </c>
      <c r="D1" t="str">
        <v>Ganancia acumulada USD</v>
      </c>
      <c r="E1" t="str">
        <v>Lectura</v>
      </c>
    </row>
    <row r="2">
      <c r="A2" t="str">
        <v>Conservador</v>
      </c>
      <c r="B2" t="str">
        <v>2 constantes</v>
      </c>
      <c r="C2">
        <v>24</v>
      </c>
      <c r="D2">
        <v>10578.320000005202</v>
      </c>
      <c r="E2" t="str">
        <v>Valida si el proyecto resiste menor captacion</v>
      </c>
    </row>
    <row r="3">
      <c r="A3" t="str">
        <v>Base</v>
      </c>
      <c r="B3" t="str">
        <v>3 primer mes, luego 4</v>
      </c>
      <c r="C3">
        <v>47</v>
      </c>
      <c r="D3">
        <v>37360.54000001</v>
      </c>
      <c r="E3" t="str">
        <v>Replica el archivo original con punto de equilibrio aclarado</v>
      </c>
    </row>
    <row r="4">
      <c r="A4" t="str">
        <v>Optimista</v>
      </c>
      <c r="B4" t="str">
        <v>5 primer mes, luego 6</v>
      </c>
      <c r="C4">
        <v>71</v>
      </c>
      <c r="D4">
        <v>65878.86000001521</v>
      </c>
      <c r="E4" t="str">
        <v>Muestra escalabilidad comercial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4.83203125" customWidth="1"/>
    <col min="2" max="2" width="42.83203125" customWidth="1"/>
    <col min="3" max="3" width="55.83203125" customWidth="1"/>
  </cols>
  <sheetData>
    <row r="1">
      <c r="A1" t="str">
        <v>Variable fidelizacion</v>
      </c>
      <c r="B1" t="str">
        <v>Supuesto sugerido</v>
      </c>
      <c r="C1" t="str">
        <v>Uso en defensa oral</v>
      </c>
    </row>
    <row r="2">
      <c r="A2" t="str">
        <v>Objetivo del sistema</v>
      </c>
      <c r="B2" t="str">
        <v>Aumentar frecuencia de compra y recompra</v>
      </c>
      <c r="C2" t="str">
        <v>Sumi no regala productos al azar: incentiva retorno medible</v>
      </c>
    </row>
    <row r="3">
      <c r="A3" t="str">
        <v>Costo de recompensa</v>
      </c>
      <c r="B3" t="str">
        <v>Debe ser menor al margen incremental generado</v>
      </c>
      <c r="C3" t="str">
        <v>Evita que el programa destruya rentabilidad</v>
      </c>
    </row>
    <row r="4">
      <c r="A4" t="str">
        <v>Datos clave</v>
      </c>
      <c r="B4" t="str">
        <v>Frecuencia, ticket promedio, clientes activos, canjes</v>
      </c>
      <c r="C4" t="str">
        <v>Permite vender valor al local</v>
      </c>
    </row>
    <row r="5">
      <c r="A5" t="str">
        <v>Canjes recomendados</v>
      </c>
      <c r="B5" t="str">
        <v>Beneficios de bajo costo percibido alto</v>
      </c>
      <c r="C5" t="str">
        <v>Cafe, descuentos controlados, combos en horarios valle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Supuestos</vt:lpstr>
      <vt:lpstr>Resumen</vt:lpstr>
      <vt:lpstr>Costos</vt:lpstr>
      <vt:lpstr>Proyeccion Conservadora</vt:lpstr>
      <vt:lpstr>Proyeccion Base</vt:lpstr>
      <vt:lpstr>Proyeccion Optimista</vt:lpstr>
      <vt:lpstr>Escenarios</vt:lpstr>
      <vt:lpstr>Fidelizacion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